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позиція" sheetId="1" state="visible" r:id="rId3"/>
  </sheets>
  <definedNames>
    <definedName function="false" hidden="false" localSheetId="0" name="_xlnm.Print_Area" vbProcedure="false">Пропозиція!$A$1:$E$54</definedName>
    <definedName function="false" hidden="false" localSheetId="0" name="_xlnm.Print_Titles" vbProcedure="false">Пропозиція!$11:$11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<sst xmlns="http://schemas.openxmlformats.org/spreadsheetml/2006/main" count="56" uniqueCount="51">
  <si>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0 800 330 287 (безкоштовно)
(067) 714 28 82   (050) 495 34 06
info@grili.com.ua
м. Київ, вул. Кирилівська, 34-38; м. Київ, Столичне шосе, 35</t>
  </si>
  <si>
    <t xml:space="preserve">Пропозиція №220926</t>
  </si>
  <si>
    <t xml:space="preserve">Місце монтажу: н.п. Гостомель</t>
  </si>
  <si>
    <t xml:space="preserve">Вартість будівництва гриль зони з обраним обладнанням</t>
  </si>
  <si>
    <t xml:space="preserve">Замовник: Ростислав</t>
  </si>
  <si>
    <t xml:space="preserve">від 22.09.2026</t>
  </si>
  <si>
    <t xml:space="preserve">Конт. тел.: 067 238 56 62</t>
  </si>
  <si>
    <t xml:space="preserve">№</t>
  </si>
  <si>
    <t xml:space="preserve">Найменування</t>
  </si>
  <si>
    <t xml:space="preserve">Вартість, грн</t>
  </si>
  <si>
    <t xml:space="preserve">Кількість</t>
  </si>
  <si>
    <t xml:space="preserve">Кінцевий прорахунок, грн</t>
  </si>
  <si>
    <t xml:space="preserve">Основа / конструкція</t>
  </si>
  <si>
    <t xml:space="preserve">Модульна конструкція з декоративного залізобетону, основа, м.п. (колір наближений до наданого зразка)</t>
  </si>
  <si>
    <t xml:space="preserve">Панель HPL для зашивки задньої стінки, матеріал та порізка</t>
  </si>
  <si>
    <t xml:space="preserve">Стільниця та задній фартух з керамограніту Ascale Moon Black matt, враховано матеріал та виготовлення деталей</t>
  </si>
  <si>
    <t xml:space="preserve">Разом за розділ «Основа / конструкція»:</t>
  </si>
  <si>
    <t xml:space="preserve">Обладнання</t>
  </si>
  <si>
    <t xml:space="preserve">Вбудований газовий гриль Napoleon Prestige PRO 825, BIPRO825RBIPSS</t>
  </si>
  <si>
    <t xml:space="preserve">Надпотужна подвійна конфорка для вбудовування з кришкою, нержавіюча сталь, Napoleon BIB18PBPSS-CE</t>
  </si>
  <si>
    <t xml:space="preserve">Керамічний вугільний гриль Kamado L 5 в 1 з системою BBQ Block Fire, GRILLI 749777</t>
  </si>
  <si>
    <t xml:space="preserve">Газовий пальник-вставка в керамічний гриль для переобладнання під газовий балон</t>
  </si>
  <si>
    <t xml:space="preserve">Кухонна мийка Franke Maris MRX 110-50</t>
  </si>
  <si>
    <t xml:space="preserve">Змішувач Franke Pescara Semipro L</t>
  </si>
  <si>
    <t xml:space="preserve">Подрібнювач харчових відходів Franke Slim 125</t>
  </si>
  <si>
    <t xml:space="preserve">Вбудований модуль з розпашними дверцятами, нержавіюча сталь</t>
  </si>
  <si>
    <t xml:space="preserve">Вбудований висувний модуль під керамічний вугільний гриль, нержавіюча сталь</t>
  </si>
  <si>
    <t xml:space="preserve">Вбудований модуль з розпашними дверцятами та 2 ящиками під гриль Napoleon Prestige PRO 825, нержавіюча сталь, GRILLI 777792</t>
  </si>
  <si>
    <t xml:space="preserve">Вбудований модуль з трьома висувними ящиками, ширина 520 мм, нержавіюча сталь, GRILLI 777791</t>
  </si>
  <si>
    <t xml:space="preserve">Вбудований модуль з розпашними дверцятами під мийку, нержавіюча сталь, GRILLI 777793</t>
  </si>
  <si>
    <t xml:space="preserve">Разом за розділ «Обладнання»:</t>
  </si>
  <si>
    <t xml:space="preserve">Монтажні та логістичні витрати</t>
  </si>
  <si>
    <t xml:space="preserve">Вантажно-розвантажувальні роботи: ручне розвантаження блоків з декоративного бетону, виробів з каменю та нержавіючої сталі, монтажного обладнання</t>
  </si>
  <si>
    <t xml:space="preserve">Монтажні роботи: декоративний бетон, вироби з керамограніту, нержавіючої сталі та HPL, установка грильового обладнання, переобладнання керамічного гриля під газ</t>
  </si>
  <si>
    <t xml:space="preserve">Доставка та додаткові транспортні витрати: доставка конструкції з декоративного бетону, виробів з каменю та нержавіючої сталі, монтажного обладнання й витратних матеріалів, привіз і відвіз робочого персоналу на об'єкт</t>
  </si>
  <si>
    <t xml:space="preserve">Додаткові витрати, які не увійшли в попередні пункти</t>
  </si>
  <si>
    <t xml:space="preserve">Разом за розділ «Монтажні та логістичні витрати»:</t>
  </si>
  <si>
    <t xml:space="preserve">Разом, грн:</t>
  </si>
  <si>
    <t xml:space="preserve">Разом, USD (курс НБУ на 22.09.2026):</t>
  </si>
  <si>
    <t xml:space="preserve">Умови</t>
  </si>
  <si>
    <t xml:space="preserve">•</t>
  </si>
  <si>
    <t xml:space="preserve">Пропозиція дійсна 3 робочі дні — до 25.09.2026 включно.</t>
  </si>
  <si>
    <t xml:space="preserve">Вартість розрахована на 22.09.2026. Після остаточного погодження всі позиції актуалізуються за наявністю та вартістю у постачальників і коригуються в кошторисі.</t>
  </si>
  <si>
    <t xml:space="preserve">Термін виконання робіт 45–60 робочих днів.</t>
  </si>
  <si>
    <t xml:space="preserve">Попередня оплата перед початком робіт 80% від загальної вартості.</t>
  </si>
  <si>
    <t xml:space="preserve">Не враховані роботи з підключення сантехніки та електрики.</t>
  </si>
  <si>
    <t xml:space="preserve">Непередбачувані супутні роботи та їх вартість на місці монтажу обговорюються та погоджуються окремо.</t>
  </si>
  <si>
    <t xml:space="preserve">Менеджер: ____________________________________</t>
  </si>
  <si>
    <t xml:space="preserve">Підпис: ______________________</t>
  </si>
  <si>
    <t xml:space="preserve">Телефон: ____________________________________</t>
  </si>
  <si>
    <t xml:space="preserve">Дата: ______________________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</si>
</sst>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##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5"/>
      <color rgb="FF242F33"/>
      <name val="Calibri"/>
      <family val="0"/>
      <charset val="1"/>
    </font>
    <font>
      <b val="true"/>
      <sz val="15"/>
      <color rgb="FF242F33"/>
      <name val="Calibri"/>
      <family val="0"/>
      <charset val="1"/>
    </font>
    <font>
      <b val="true"/>
      <sz val="10"/>
      <color rgb="FF242F33"/>
      <name val="Calibri"/>
      <family val="0"/>
      <charset val="1"/>
    </font>
    <font>
      <sz val="11"/>
      <color rgb="FF242F33"/>
      <name val="Calibri"/>
      <family val="0"/>
      <charset val="1"/>
    </font>
    <font>
      <sz val="9"/>
      <color rgb="FFF15F2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42F33"/>
      <name val="Calibri"/>
      <family val="0"/>
      <charset val="1"/>
    </font>
    <font>
      <b val="true"/>
      <sz val="10"/>
      <color rgb="FFF15F24"/>
      <name val="Calibri"/>
      <family val="0"/>
      <charset val="1"/>
    </font>
    <font>
      <b val="true"/>
      <sz val="12"/>
      <color rgb="FF242F3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.5"/>
      <color rgb="FF242F33"/>
      <name val="Calibri"/>
      <family val="0"/>
      <charset val="1"/>
    </font>
    <font>
      <b val="true"/>
      <sz val="11"/>
      <color rgb="FF242F33"/>
      <name val="Calibri"/>
      <family val="0"/>
      <charset val="1"/>
    </font>
    <font>
      <b val="true"/>
      <sz val="11"/>
      <color rgb="FF33825C"/>
      <name val="Calibri"/>
      <family val="0"/>
      <charset val="1"/>
    </font>
    <font>
      <sz val="9.5"/>
      <color rgb="FF242F33"/>
      <name val="Calibri"/>
      <family val="0"/>
      <charset val="1"/>
    </font>
    <font>
      <b val="true"/>
      <sz val="10.5"/>
      <color rgb="FF242F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2F33"/>
        <bgColor rgb="FF333300"/>
      </patternFill>
    </fill>
    <fill>
      <patternFill patternType="solid">
        <fgColor rgb="FF33825C"/>
        <bgColor rgb="FF008080"/>
      </patternFill>
    </fill>
    <fill>
      <patternFill patternType="solid">
        <fgColor rgb="FFF15F24"/>
        <bgColor rgb="FFFF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15F24"/>
      </bottom>
      <diagonal/>
    </border>
    <border diagonalUp="false" diagonalDown="false">
      <left/>
      <right/>
      <top/>
      <bottom style="thin">
        <color rgb="FFC9CFD1"/>
      </bottom>
      <diagonal/>
    </border>
    <border diagonalUp="false" diagonalDown="false">
      <left/>
      <right/>
      <top style="medium">
        <color rgb="FF242F33"/>
      </top>
      <bottom style="medium">
        <color rgb="FF242F33"/>
      </bottom>
      <diagonal/>
    </border>
    <border diagonalUp="false" diagonalDown="false">
      <left/>
      <right/>
      <top/>
      <bottom style="medium">
        <color rgb="FFF15F2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D1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15F24"/>
      <rgbColor rgb="FF666699"/>
      <rgbColor rgb="FF969696"/>
      <rgbColor rgb="FF003366"/>
      <rgbColor rgb="FF33825C"/>
      <rgbColor rgb="FF003300"/>
      <rgbColor rgb="FF333300"/>
      <rgbColor rgb="FF993300"/>
      <rgbColor rgb="FF993366"/>
      <rgbColor rgb="FF333399"/>
      <rgbColor rgb="FF242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2028600</xdr:colOff>
      <xdr:row>2</xdr:row>
      <xdr:rowOff>75960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38104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8"/>
  </cols>
  <sheetData>
    <row r="1" customFormat="false" ht="15" hidden="false" customHeight="true" outlineLevel="0" collapsed="false">
      <c r="C1" s="1" t="s">
        <v>0</v>
      </c>
      <c r="D1" s="1"/>
      <c r="E1" s="1"/>
    </row>
    <row r="2" customFormat="false" ht="15" hidden="false" customHeight="true" outlineLevel="0" collapsed="false">
      <c r="C2" s="1"/>
      <c r="D2" s="1"/>
      <c r="E2" s="1"/>
    </row>
    <row r="3" customFormat="false" ht="15" hidden="false" customHeight="true" outlineLevel="0" collapsed="false">
      <c r="C3" s="1"/>
      <c r="D3" s="1"/>
      <c r="E3" s="1"/>
    </row>
    <row r="4" customFormat="false" ht="15" hidden="false" customHeight="true" outlineLevel="0" collapsed="false">
      <c r="C4" s="1"/>
      <c r="D4" s="1"/>
      <c r="E4" s="1"/>
    </row>
    <row r="5" customFormat="false" ht="6" hidden="false" customHeight="true" outlineLevel="0" collapsed="false">
      <c r="A5" s="2"/>
      <c r="B5" s="2"/>
      <c r="C5" s="2"/>
      <c r="D5" s="2"/>
      <c r="E5" s="2"/>
    </row>
    <row r="7" customFormat="false" ht="21.75" hidden="false" customHeight="true" outlineLevel="0" collapsed="false">
      <c r="A7" s="3" t="s">
        <v>1</v>
      </c>
      <c r="C7" s="4" t="s">
        <v>2</v>
      </c>
      <c r="D7" s="4"/>
      <c r="E7" s="4"/>
    </row>
    <row r="8" customFormat="false" ht="15" hidden="false" customHeight="false" outlineLevel="0" collapsed="false">
      <c r="A8" s="5" t="s">
        <v>3</v>
      </c>
      <c r="C8" s="4" t="s">
        <v>4</v>
      </c>
      <c r="D8" s="4"/>
      <c r="E8" s="4"/>
    </row>
    <row r="9" customFormat="false" ht="15" hidden="false" customHeight="false" outlineLevel="0" collapsed="false">
      <c r="A9" s="6" t="s">
        <v>5</v>
      </c>
      <c r="C9" s="4" t="s">
        <v>6</v>
      </c>
      <c r="D9" s="4"/>
      <c r="E9" s="4"/>
    </row>
    <row r="11" customFormat="false" ht="30" hidden="false" customHeight="true" outlineLevel="0" collapsed="false">
      <c r="A11" s="7" t="s">
        <v>7</v>
      </c>
      <c r="B11" s="7" t="s">
        <v>8</v>
      </c>
      <c r="C11" s="7" t="s">
        <v>9</v>
      </c>
      <c r="D11" s="7" t="s">
        <v>10</v>
      </c>
      <c r="E11" s="7" t="s">
        <v>11</v>
      </c>
    </row>
    <row r="12" customFormat="false" ht="18" hidden="false" customHeight="true" outlineLevel="0" collapsed="false">
      <c r="A12" s="8" t="s">
        <v>12</v>
      </c>
      <c r="B12" s="8"/>
      <c r="C12" s="8"/>
      <c r="D12" s="8"/>
      <c r="E12" s="8"/>
    </row>
    <row r="13" customFormat="false" ht="33.75" hidden="false" customHeight="true" outlineLevel="0" collapsed="false">
      <c r="A13" s="9" t="n">
        <v>1</v>
      </c>
      <c r="B13" s="10" t="s">
        <v>13</v>
      </c>
      <c r="C13" s="11" t="n">
        <v>42563</v>
      </c>
      <c r="D13" s="12" t="n">
        <v>4.9</v>
      </c>
      <c r="E13" s="11" t="n">
        <f aca="false">ROUND(C13*D13,0)</f>
        <v>208559</v>
      </c>
    </row>
    <row r="14" customFormat="false" ht="18.75" hidden="false" customHeight="true" outlineLevel="0" collapsed="false">
      <c r="A14" s="9" t="n">
        <v>2</v>
      </c>
      <c r="B14" s="10" t="s">
        <v>14</v>
      </c>
      <c r="C14" s="11" t="n">
        <v>78359</v>
      </c>
      <c r="D14" s="12" t="n">
        <v>1</v>
      </c>
      <c r="E14" s="11" t="n">
        <f aca="false">ROUND(C14*D14,0)</f>
        <v>78359</v>
      </c>
    </row>
    <row r="15" customFormat="false" ht="33.75" hidden="false" customHeight="true" outlineLevel="0" collapsed="false">
      <c r="A15" s="9" t="n">
        <v>3</v>
      </c>
      <c r="B15" s="10" t="s">
        <v>15</v>
      </c>
      <c r="C15" s="11" t="n">
        <v>217803</v>
      </c>
      <c r="D15" s="12" t="n">
        <v>1</v>
      </c>
      <c r="E15" s="11" t="n">
        <f aca="false">ROUND(C15*D15,0)</f>
        <v>217803</v>
      </c>
    </row>
    <row r="16" customFormat="false" ht="15" hidden="false" customHeight="false" outlineLevel="0" collapsed="false">
      <c r="A16" s="13" t="s">
        <v>16</v>
      </c>
      <c r="B16" s="13"/>
      <c r="C16" s="13"/>
      <c r="D16" s="13"/>
      <c r="E16" s="14" t="n">
        <f aca="false">SUM(E13:E15)</f>
        <v>504721</v>
      </c>
    </row>
    <row r="18" customFormat="false" ht="18" hidden="false" customHeight="true" outlineLevel="0" collapsed="false">
      <c r="A18" s="8" t="s">
        <v>17</v>
      </c>
      <c r="B18" s="8"/>
      <c r="C18" s="8"/>
      <c r="D18" s="8"/>
      <c r="E18" s="8"/>
    </row>
    <row r="19" customFormat="false" ht="18.75" hidden="false" customHeight="true" outlineLevel="0" collapsed="false">
      <c r="A19" s="9" t="n">
        <v>4</v>
      </c>
      <c r="B19" s="10" t="s">
        <v>18</v>
      </c>
      <c r="C19" s="11" t="n">
        <v>229500</v>
      </c>
      <c r="D19" s="12" t="n">
        <v>1</v>
      </c>
      <c r="E19" s="11" t="n">
        <f aca="false">ROUND(C19*D19,0)</f>
        <v>229500</v>
      </c>
    </row>
    <row r="20" customFormat="false" ht="33.75" hidden="false" customHeight="true" outlineLevel="0" collapsed="false">
      <c r="A20" s="9" t="n">
        <v>5</v>
      </c>
      <c r="B20" s="10" t="s">
        <v>19</v>
      </c>
      <c r="C20" s="11" t="n">
        <v>63000</v>
      </c>
      <c r="D20" s="12" t="n">
        <v>1</v>
      </c>
      <c r="E20" s="11" t="n">
        <f aca="false">ROUND(C20*D20,0)</f>
        <v>63000</v>
      </c>
    </row>
    <row r="21" customFormat="false" ht="33.75" hidden="false" customHeight="true" outlineLevel="0" collapsed="false">
      <c r="A21" s="9" t="n">
        <v>6</v>
      </c>
      <c r="B21" s="10" t="s">
        <v>20</v>
      </c>
      <c r="C21" s="11" t="n">
        <v>85491</v>
      </c>
      <c r="D21" s="12" t="n">
        <v>1</v>
      </c>
      <c r="E21" s="11" t="n">
        <f aca="false">ROUND(C21*D21,0)</f>
        <v>85491</v>
      </c>
    </row>
    <row r="22" customFormat="false" ht="33.75" hidden="false" customHeight="true" outlineLevel="0" collapsed="false">
      <c r="A22" s="9" t="n">
        <v>7</v>
      </c>
      <c r="B22" s="10" t="s">
        <v>21</v>
      </c>
      <c r="C22" s="11" t="n">
        <v>38232</v>
      </c>
      <c r="D22" s="12" t="n">
        <v>1</v>
      </c>
      <c r="E22" s="11" t="n">
        <f aca="false">ROUND(C22*D22,0)</f>
        <v>38232</v>
      </c>
    </row>
    <row r="23" customFormat="false" ht="18.75" hidden="false" customHeight="true" outlineLevel="0" collapsed="false">
      <c r="A23" s="9" t="n">
        <v>8</v>
      </c>
      <c r="B23" s="10" t="s">
        <v>22</v>
      </c>
      <c r="C23" s="11" t="n">
        <v>10656</v>
      </c>
      <c r="D23" s="12" t="n">
        <v>1</v>
      </c>
      <c r="E23" s="11" t="n">
        <f aca="false">ROUND(C23*D23,0)</f>
        <v>10656</v>
      </c>
    </row>
    <row r="24" customFormat="false" ht="18.75" hidden="false" customHeight="true" outlineLevel="0" collapsed="false">
      <c r="A24" s="9" t="n">
        <v>9</v>
      </c>
      <c r="B24" s="10" t="s">
        <v>23</v>
      </c>
      <c r="C24" s="11" t="n">
        <v>19056</v>
      </c>
      <c r="D24" s="12" t="n">
        <v>1</v>
      </c>
      <c r="E24" s="11" t="n">
        <f aca="false">ROUND(C24*D24,0)</f>
        <v>19056</v>
      </c>
    </row>
    <row r="25" customFormat="false" ht="18.75" hidden="false" customHeight="true" outlineLevel="0" collapsed="false">
      <c r="A25" s="9" t="n">
        <v>10</v>
      </c>
      <c r="B25" s="10" t="s">
        <v>24</v>
      </c>
      <c r="C25" s="11" t="n">
        <v>17280</v>
      </c>
      <c r="D25" s="12" t="n">
        <v>1</v>
      </c>
      <c r="E25" s="11" t="n">
        <f aca="false">ROUND(C25*D25,0)</f>
        <v>17280</v>
      </c>
    </row>
    <row r="26" customFormat="false" ht="18.75" hidden="false" customHeight="true" outlineLevel="0" collapsed="false">
      <c r="A26" s="9" t="n">
        <v>11</v>
      </c>
      <c r="B26" s="10" t="s">
        <v>25</v>
      </c>
      <c r="C26" s="11" t="n">
        <v>28963</v>
      </c>
      <c r="D26" s="12" t="n">
        <v>1</v>
      </c>
      <c r="E26" s="11" t="n">
        <f aca="false">ROUND(C26*D26,0)</f>
        <v>28963</v>
      </c>
    </row>
    <row r="27" customFormat="false" ht="33.75" hidden="false" customHeight="true" outlineLevel="0" collapsed="false">
      <c r="A27" s="9" t="n">
        <v>12</v>
      </c>
      <c r="B27" s="10" t="s">
        <v>26</v>
      </c>
      <c r="C27" s="11" t="n">
        <v>31837</v>
      </c>
      <c r="D27" s="12" t="n">
        <v>1</v>
      </c>
      <c r="E27" s="11" t="n">
        <f aca="false">ROUND(C27*D27,0)</f>
        <v>31837</v>
      </c>
    </row>
    <row r="28" customFormat="false" ht="33.75" hidden="false" customHeight="true" outlineLevel="0" collapsed="false">
      <c r="A28" s="9" t="n">
        <v>13</v>
      </c>
      <c r="B28" s="10" t="s">
        <v>27</v>
      </c>
      <c r="C28" s="11" t="n">
        <v>54693</v>
      </c>
      <c r="D28" s="12" t="n">
        <v>1</v>
      </c>
      <c r="E28" s="11" t="n">
        <f aca="false">ROUND(C28*D28,0)</f>
        <v>54693</v>
      </c>
    </row>
    <row r="29" customFormat="false" ht="33.75" hidden="false" customHeight="true" outlineLevel="0" collapsed="false">
      <c r="A29" s="9" t="n">
        <v>14</v>
      </c>
      <c r="B29" s="10" t="s">
        <v>28</v>
      </c>
      <c r="C29" s="11" t="n">
        <v>43674</v>
      </c>
      <c r="D29" s="12" t="n">
        <v>1</v>
      </c>
      <c r="E29" s="11" t="n">
        <f aca="false">ROUND(C29*D29,0)</f>
        <v>43674</v>
      </c>
    </row>
    <row r="30" customFormat="false" ht="33.75" hidden="false" customHeight="true" outlineLevel="0" collapsed="false">
      <c r="A30" s="9" t="n">
        <v>15</v>
      </c>
      <c r="B30" s="10" t="s">
        <v>29</v>
      </c>
      <c r="C30" s="11" t="n">
        <v>32039</v>
      </c>
      <c r="D30" s="12" t="n">
        <v>1</v>
      </c>
      <c r="E30" s="11" t="n">
        <f aca="false">ROUND(C30*D30,0)</f>
        <v>32039</v>
      </c>
    </row>
    <row r="31" customFormat="false" ht="15" hidden="false" customHeight="false" outlineLevel="0" collapsed="false">
      <c r="A31" s="13" t="s">
        <v>30</v>
      </c>
      <c r="B31" s="13"/>
      <c r="C31" s="13"/>
      <c r="D31" s="13"/>
      <c r="E31" s="14" t="n">
        <f aca="false">SUM(E19:E30)</f>
        <v>654421</v>
      </c>
    </row>
    <row r="33" customFormat="false" ht="18" hidden="false" customHeight="true" outlineLevel="0" collapsed="false">
      <c r="A33" s="8" t="s">
        <v>31</v>
      </c>
      <c r="B33" s="8"/>
      <c r="C33" s="8"/>
      <c r="D33" s="8"/>
      <c r="E33" s="8"/>
    </row>
    <row r="34" customFormat="false" ht="48.75" hidden="false" customHeight="true" outlineLevel="0" collapsed="false">
      <c r="A34" s="9" t="n">
        <v>16</v>
      </c>
      <c r="B34" s="10" t="s">
        <v>32</v>
      </c>
      <c r="C34" s="11" t="n">
        <v>18161</v>
      </c>
      <c r="D34" s="12" t="n">
        <v>1</v>
      </c>
      <c r="E34" s="11" t="n">
        <f aca="false">ROUND(C34*D34,0)</f>
        <v>18161</v>
      </c>
    </row>
    <row r="35" customFormat="false" ht="48.75" hidden="false" customHeight="true" outlineLevel="0" collapsed="false">
      <c r="A35" s="9" t="n">
        <v>17</v>
      </c>
      <c r="B35" s="10" t="s">
        <v>33</v>
      </c>
      <c r="C35" s="11" t="n">
        <v>57462</v>
      </c>
      <c r="D35" s="12" t="n">
        <v>1</v>
      </c>
      <c r="E35" s="11" t="n">
        <f aca="false">ROUND(C35*D35,0)</f>
        <v>57462</v>
      </c>
    </row>
    <row r="36" customFormat="false" ht="63.75" hidden="false" customHeight="true" outlineLevel="0" collapsed="false">
      <c r="A36" s="9" t="n">
        <v>18</v>
      </c>
      <c r="B36" s="10" t="s">
        <v>34</v>
      </c>
      <c r="C36" s="11" t="n">
        <v>20245</v>
      </c>
      <c r="D36" s="12" t="n">
        <v>1</v>
      </c>
      <c r="E36" s="11" t="n">
        <f aca="false">ROUND(C36*D36,0)</f>
        <v>20245</v>
      </c>
    </row>
    <row r="37" customFormat="false" ht="18.75" hidden="false" customHeight="true" outlineLevel="0" collapsed="false">
      <c r="A37" s="9" t="n">
        <v>19</v>
      </c>
      <c r="B37" s="10" t="s">
        <v>35</v>
      </c>
      <c r="C37" s="11" t="n">
        <v>5760</v>
      </c>
      <c r="D37" s="12" t="n">
        <v>1</v>
      </c>
      <c r="E37" s="11" t="n">
        <f aca="false">ROUND(C37*D37,0)</f>
        <v>5760</v>
      </c>
    </row>
    <row r="38" customFormat="false" ht="15" hidden="false" customHeight="false" outlineLevel="0" collapsed="false">
      <c r="A38" s="13" t="s">
        <v>36</v>
      </c>
      <c r="B38" s="13"/>
      <c r="C38" s="13"/>
      <c r="D38" s="13"/>
      <c r="E38" s="14" t="n">
        <f aca="false">SUM(E34:E37)</f>
        <v>101628</v>
      </c>
    </row>
    <row r="40" customFormat="false" ht="21.75" hidden="false" customHeight="true" outlineLevel="0" collapsed="false">
      <c r="A40" s="15" t="s">
        <v>37</v>
      </c>
      <c r="B40" s="15"/>
      <c r="C40" s="15"/>
      <c r="D40" s="15"/>
      <c r="E40" s="16" t="n">
        <f aca="false">E16+E31+E38</f>
        <v>1260770</v>
      </c>
    </row>
    <row r="41" customFormat="false" ht="19.5" hidden="false" customHeight="true" outlineLevel="0" collapsed="false">
      <c r="A41" s="17" t="s">
        <v>38</v>
      </c>
      <c r="B41" s="17"/>
      <c r="C41" s="17"/>
      <c r="D41" s="18" t="n">
        <v>44.71</v>
      </c>
      <c r="E41" s="19" t="n">
        <f aca="false">ROUND(E40/D41,0)</f>
        <v>28199</v>
      </c>
    </row>
    <row r="43" customFormat="false" ht="15" hidden="false" customHeight="false" outlineLevel="0" collapsed="false">
      <c r="A43" s="20" t="s">
        <v>39</v>
      </c>
    </row>
    <row r="44" customFormat="false" ht="15.75" hidden="false" customHeight="true" outlineLevel="0" collapsed="false">
      <c r="A44" s="21" t="s">
        <v>40</v>
      </c>
      <c r="B44" s="22" t="s">
        <v>41</v>
      </c>
      <c r="C44" s="22"/>
      <c r="D44" s="22"/>
      <c r="E44" s="22"/>
    </row>
    <row r="45" customFormat="false" ht="30" hidden="false" customHeight="true" outlineLevel="0" collapsed="false">
      <c r="A45" s="21" t="s">
        <v>40</v>
      </c>
      <c r="B45" s="22" t="s">
        <v>42</v>
      </c>
      <c r="C45" s="22"/>
      <c r="D45" s="22"/>
      <c r="E45" s="22"/>
    </row>
    <row r="46" customFormat="false" ht="15.75" hidden="false" customHeight="true" outlineLevel="0" collapsed="false">
      <c r="A46" s="21" t="s">
        <v>40</v>
      </c>
      <c r="B46" s="22" t="s">
        <v>43</v>
      </c>
      <c r="C46" s="22"/>
      <c r="D46" s="22"/>
      <c r="E46" s="22"/>
    </row>
    <row r="47" customFormat="false" ht="15.75" hidden="false" customHeight="true" outlineLevel="0" collapsed="false">
      <c r="A47" s="21" t="s">
        <v>40</v>
      </c>
      <c r="B47" s="22" t="s">
        <v>44</v>
      </c>
      <c r="C47" s="22"/>
      <c r="D47" s="22"/>
      <c r="E47" s="22"/>
    </row>
    <row r="48" customFormat="false" ht="15.75" hidden="false" customHeight="true" outlineLevel="0" collapsed="false">
      <c r="A48" s="21" t="s">
        <v>40</v>
      </c>
      <c r="B48" s="22" t="s">
        <v>45</v>
      </c>
      <c r="C48" s="22"/>
      <c r="D48" s="22"/>
      <c r="E48" s="22"/>
    </row>
    <row r="49" customFormat="false" ht="15.75" hidden="false" customHeight="true" outlineLevel="0" collapsed="false">
      <c r="A49" s="21" t="s">
        <v>40</v>
      </c>
      <c r="B49" s="22" t="s">
        <v>46</v>
      </c>
      <c r="C49" s="22"/>
      <c r="D49" s="22"/>
      <c r="E49" s="22"/>
    </row>
    <row r="52" customFormat="false" ht="21.75" hidden="false" customHeight="true" outlineLevel="0" collapsed="false">
      <c r="A52" s="23" t="s">
        <v>47</v>
      </c>
      <c r="C52" s="23" t="s">
        <v>48</v>
      </c>
    </row>
    <row r="53" customFormat="false" ht="21.75" hidden="false" customHeight="true" outlineLevel="0" collapsed="false">
      <c r="A53" s="23" t="s">
        <v>49</v>
      </c>
      <c r="C53" s="23" t="s">
        <v>50</v>
      </c>
    </row>
  </sheetData>
  <mergeCells count="18">
    <mergeCell ref="C1:E4"/>
    <mergeCell ref="C7:E7"/>
    <mergeCell ref="C8:E8"/>
    <mergeCell ref="C9:E9"/>
    <mergeCell ref="A12:E12"/>
    <mergeCell ref="A16:D16"/>
    <mergeCell ref="A18:E18"/>
    <mergeCell ref="A31:D31"/>
    <mergeCell ref="A33:E33"/>
    <mergeCell ref="A38:D38"/>
    <mergeCell ref="A40:D40"/>
    <mergeCell ref="A41:C41"/>
    <mergeCell ref="B44:E44"/>
    <mergeCell ref="B45:E45"/>
    <mergeCell ref="B46:E46"/>
    <mergeCell ref="B47:E47"/>
    <mergeCell ref="B48:E48"/>
    <mergeCell ref="B49:E49"/>
  </mergeCells>
  <printOptions headings="false" gridLines="false" gridLinesSet="true" horizontalCentered="false" verticalCentered="false"/>
  <pageMargins left="0.5" right="0.5" top="0.547222222222222" bottom="0.6" header="0.3" footer="0.3"/>
  <pageSetup paperSize="9" scale="100" fitToWidth="1" fitToHeight="0" pageOrder="downThenOver" orientation="portrait" blackAndWhite="false" draft="false" cellComments="none" horizontalDpi="300" verticalDpi="300" copies="1"/>
  <headerFooter differentFirst="true" differentOddEven="false">
    <oddHeader>&amp;L&amp;K33825cGRILI.UA — все для барбекю&amp;R&amp;8 0 800 330 287  •  (067) 714 28 82  •  (050) 495 34 06  •  info@grili.com.ua</oddHeader>
    <oddFooter>&amp;L&amp;8 Пропозиція №220926&amp;R&amp;8 Сторінка &amp;P з &amp;N</oddFooter>
    <firstHeader/>
    <firstFooter>&amp;L&amp;8 Пропозиція №220926&amp;R&amp;8 Сторінка &amp;P з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2026-09-22T12:00:56Z</dcterms:created>
  <dc:creator>openpyxl</dc:creator>
  <dc:description/>
  <dc:language>en-US</dc:language>
  <cp:lastModifiedBy/>
  <dcterms:modified xsi:type="dcterms:W3CDTF">2026-09-22T12:00:56Z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